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s" sheetId="1" r:id="rId1"/>
  </sheets>
  <definedNames>
    <definedName name="_xlnm.Print_Area" localSheetId="0">Costs!$A$1:$G$27</definedName>
  </definedNames>
  <calcPr calcId="124519" fullCalcOnLoad="1"/>
</workbook>
</file>

<file path=xl/sharedStrings.xml><?xml version="1.0" encoding="utf-8"?>
<sst xmlns="http://schemas.openxmlformats.org/spreadsheetml/2006/main" count="36" uniqueCount="33">
  <si>
    <t>Project cost comparison</t>
  </si>
  <si>
    <t>Hypothetical example. All monetary values are USD.</t>
  </si>
  <si>
    <t>Recurring annual saving</t>
  </si>
  <si>
    <t>First-year proposed cost</t>
  </si>
  <si>
    <t>First-year additional cost</t>
  </si>
  <si>
    <t>Five-year current cost</t>
  </si>
  <si>
    <t>Five-year proposed cost</t>
  </si>
  <si>
    <t>Five-year saving</t>
  </si>
  <si>
    <t>Year</t>
  </si>
  <si>
    <t>Current cost</t>
  </si>
  <si>
    <t>Proposed annual</t>
  </si>
  <si>
    <t>Implementation</t>
  </si>
  <si>
    <t>Proposed total</t>
  </si>
  <si>
    <t>Saving</t>
  </si>
  <si>
    <t>Cumulative saving</t>
  </si>
  <si>
    <t>Input</t>
  </si>
  <si>
    <t>Amount (USD)</t>
  </si>
  <si>
    <t>Period</t>
  </si>
  <si>
    <t>Source ID</t>
  </si>
  <si>
    <t>Source date</t>
  </si>
  <si>
    <t>Status</t>
  </si>
  <si>
    <t>Current annual cost</t>
  </si>
  <si>
    <t>Annual</t>
  </si>
  <si>
    <t>H1</t>
  </si>
  <si>
    <t>Fictional example</t>
  </si>
  <si>
    <t>Proposed annual cost</t>
  </si>
  <si>
    <t>H2</t>
  </si>
  <si>
    <t>Implementation cost</t>
  </si>
  <si>
    <t>First year only</t>
  </si>
  <si>
    <t>H3</t>
  </si>
  <si>
    <t>Source: Chapter 9 fictional inputs, version 2026-10-03; not quotes or observed costs.</t>
  </si>
  <si>
    <t>Assumptions: unchanged annual rates; implementation in year 1; no other costs, inflation, or discounting.</t>
  </si>
  <si>
    <t>Caches computed by Python for these inputs. Recalculate after edits; native Excel/LibreOffice not tested here.</t>
  </si>
</sst>
</file>

<file path=xl/styles.xml><?xml version="1.0" encoding="utf-8"?>
<styleSheet xmlns="http://schemas.openxmlformats.org/spreadsheetml/2006/main">
  <numFmts count="2">
    <numFmt numFmtId="164" formatCode="$#,##0.00;($#,##0.00);&quot;—&quot;"/>
    <numFmt numFmtId="165" formatCode="yyyy-mm-dd"/>
  </numFmts>
  <fonts count="6">
    <font>
      <sz val="11"/>
      <color theme="1"/>
      <name val="Calibri"/>
      <family val="2"/>
      <scheme val="minor"/>
    </font>
    <font>
      <b/>
      <sz val="15"/>
      <color theme="1"/>
      <name val="Arial"/>
      <family val="2"/>
    </font>
    <font>
      <i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  <font>
      <sz val="11"/>
      <color rgb="FF185AB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43B5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243B53"/>
    <pageSetUpPr fitToPage="1"/>
  </sheetPr>
  <dimension ref="A2:G27"/>
  <sheetViews>
    <sheetView showGridLines="0" tabSelected="1" workbookViewId="0"/>
  </sheetViews>
  <sheetFormatPr defaultRowHeight="21" customHeight="1"/>
  <cols>
    <col min="1" max="1" width="36.7109375" customWidth="1"/>
    <col min="2" max="3" width="18.7109375" customWidth="1"/>
    <col min="4" max="4" width="20.7109375" customWidth="1"/>
    <col min="5" max="5" width="18.7109375" customWidth="1"/>
    <col min="6" max="7" width="22.7109375" customWidth="1"/>
  </cols>
  <sheetData>
    <row r="2" spans="1:7" ht="21" customHeight="1">
      <c r="A2" s="1" t="s">
        <v>0</v>
      </c>
    </row>
    <row r="3" spans="1:7" ht="21" customHeight="1">
      <c r="A3" s="2" t="s">
        <v>1</v>
      </c>
    </row>
    <row r="5" spans="1:7" ht="21" customHeight="1">
      <c r="A5" s="3" t="s">
        <v>2</v>
      </c>
      <c r="B5" s="4">
        <f>B21-B22</f>
        <v>12000</v>
      </c>
    </row>
    <row r="6" spans="1:7" ht="21" customHeight="1">
      <c r="A6" s="3" t="s">
        <v>3</v>
      </c>
      <c r="B6" s="4">
        <f>E14</f>
        <v>51000</v>
      </c>
    </row>
    <row r="7" spans="1:7" ht="21" customHeight="1">
      <c r="A7" s="3" t="s">
        <v>4</v>
      </c>
      <c r="B7" s="4">
        <f>E14-B14</f>
        <v>3000</v>
      </c>
    </row>
    <row r="8" spans="1:7" ht="21" customHeight="1">
      <c r="A8" s="3" t="s">
        <v>5</v>
      </c>
      <c r="B8" s="4">
        <f>SUM(B14:B18)</f>
        <v>240000</v>
      </c>
    </row>
    <row r="9" spans="1:7" ht="21" customHeight="1">
      <c r="A9" s="3" t="s">
        <v>6</v>
      </c>
      <c r="B9" s="4">
        <f>SUM(E14:E18)</f>
        <v>195000</v>
      </c>
    </row>
    <row r="10" spans="1:7" ht="21" customHeight="1">
      <c r="A10" s="3" t="s">
        <v>7</v>
      </c>
      <c r="B10" s="4">
        <f>B8-B9</f>
        <v>45000</v>
      </c>
    </row>
    <row r="13" spans="1:7" ht="21" customHeight="1">
      <c r="A13" s="5" t="s">
        <v>8</v>
      </c>
      <c r="B13" s="5" t="s">
        <v>9</v>
      </c>
      <c r="C13" s="5" t="s">
        <v>10</v>
      </c>
      <c r="D13" s="5" t="s">
        <v>11</v>
      </c>
      <c r="E13" s="5" t="s">
        <v>12</v>
      </c>
      <c r="F13" s="5" t="s">
        <v>13</v>
      </c>
      <c r="G13" s="5" t="s">
        <v>14</v>
      </c>
    </row>
    <row r="14" spans="1:7" ht="21" customHeight="1">
      <c r="A14" s="3">
        <v>1</v>
      </c>
      <c r="B14" s="4">
        <f>$B$21</f>
        <v>48000</v>
      </c>
      <c r="C14" s="4">
        <f>$B$22</f>
        <v>36000</v>
      </c>
      <c r="D14" s="4">
        <f>$B$23</f>
        <v>15000</v>
      </c>
      <c r="E14" s="4">
        <f>SUM(C14:D14)</f>
        <v>51000</v>
      </c>
      <c r="F14" s="4">
        <f>B14-E14</f>
        <v>-3000</v>
      </c>
      <c r="G14" s="4">
        <f>SUM(F$14:F14)</f>
        <v>-3000</v>
      </c>
    </row>
    <row r="15" spans="1:7" ht="21" customHeight="1">
      <c r="A15" s="3">
        <v>2</v>
      </c>
      <c r="B15" s="4">
        <f>$B$21</f>
        <v>48000</v>
      </c>
      <c r="C15" s="4">
        <f>$B$22</f>
        <v>36000</v>
      </c>
      <c r="D15" s="4">
        <v>0</v>
      </c>
      <c r="E15" s="4">
        <f>SUM(C15:D15)</f>
        <v>36000</v>
      </c>
      <c r="F15" s="4">
        <f>B15-E15</f>
        <v>12000</v>
      </c>
      <c r="G15" s="4">
        <f>SUM(F$14:F15)</f>
        <v>9000</v>
      </c>
    </row>
    <row r="16" spans="1:7" ht="21" customHeight="1">
      <c r="A16" s="3">
        <v>3</v>
      </c>
      <c r="B16" s="4">
        <f>$B$21</f>
        <v>48000</v>
      </c>
      <c r="C16" s="4">
        <f>$B$22</f>
        <v>36000</v>
      </c>
      <c r="D16" s="4">
        <v>0</v>
      </c>
      <c r="E16" s="4">
        <f>SUM(C16:D16)</f>
        <v>36000</v>
      </c>
      <c r="F16" s="4">
        <f>B16-E16</f>
        <v>12000</v>
      </c>
      <c r="G16" s="4">
        <f>SUM(F$14:F16)</f>
        <v>21000</v>
      </c>
    </row>
    <row r="17" spans="1:7" ht="21" customHeight="1">
      <c r="A17" s="3">
        <v>4</v>
      </c>
      <c r="B17" s="4">
        <f>$B$21</f>
        <v>48000</v>
      </c>
      <c r="C17" s="4">
        <f>$B$22</f>
        <v>36000</v>
      </c>
      <c r="D17" s="4">
        <v>0</v>
      </c>
      <c r="E17" s="4">
        <f>SUM(C17:D17)</f>
        <v>36000</v>
      </c>
      <c r="F17" s="4">
        <f>B17-E17</f>
        <v>12000</v>
      </c>
      <c r="G17" s="4">
        <f>SUM(F$14:F17)</f>
        <v>33000</v>
      </c>
    </row>
    <row r="18" spans="1:7" ht="21" customHeight="1">
      <c r="A18" s="3">
        <v>5</v>
      </c>
      <c r="B18" s="4">
        <f>$B$21</f>
        <v>48000</v>
      </c>
      <c r="C18" s="4">
        <f>$B$22</f>
        <v>36000</v>
      </c>
      <c r="D18" s="4">
        <v>0</v>
      </c>
      <c r="E18" s="4">
        <f>SUM(C18:D18)</f>
        <v>36000</v>
      </c>
      <c r="F18" s="4">
        <f>B18-E18</f>
        <v>12000</v>
      </c>
      <c r="G18" s="4">
        <f>SUM(F$14:F18)</f>
        <v>45000</v>
      </c>
    </row>
    <row r="20" spans="1:7" ht="21" customHeight="1">
      <c r="A20" s="5" t="s">
        <v>15</v>
      </c>
      <c r="B20" s="5" t="s">
        <v>16</v>
      </c>
      <c r="C20" s="5" t="s">
        <v>17</v>
      </c>
      <c r="D20" s="5" t="s">
        <v>18</v>
      </c>
      <c r="E20" s="5" t="s">
        <v>19</v>
      </c>
      <c r="F20" s="5" t="s">
        <v>20</v>
      </c>
    </row>
    <row r="21" spans="1:7" ht="21" customHeight="1">
      <c r="A21" s="3" t="s">
        <v>21</v>
      </c>
      <c r="B21" s="6">
        <v>48000</v>
      </c>
      <c r="C21" s="7" t="s">
        <v>22</v>
      </c>
      <c r="D21" s="3" t="s">
        <v>23</v>
      </c>
      <c r="E21" s="8">
        <v>46298</v>
      </c>
      <c r="F21" s="7" t="s">
        <v>24</v>
      </c>
    </row>
    <row r="22" spans="1:7" ht="21" customHeight="1">
      <c r="A22" s="3" t="s">
        <v>25</v>
      </c>
      <c r="B22" s="6">
        <v>36000</v>
      </c>
      <c r="C22" s="7" t="s">
        <v>22</v>
      </c>
      <c r="D22" s="3" t="s">
        <v>26</v>
      </c>
      <c r="E22" s="8">
        <v>46298</v>
      </c>
      <c r="F22" s="7" t="s">
        <v>24</v>
      </c>
    </row>
    <row r="23" spans="1:7" ht="21" customHeight="1">
      <c r="A23" s="3" t="s">
        <v>27</v>
      </c>
      <c r="B23" s="6">
        <v>15000</v>
      </c>
      <c r="C23" s="7" t="s">
        <v>28</v>
      </c>
      <c r="D23" s="3" t="s">
        <v>29</v>
      </c>
      <c r="E23" s="8">
        <v>46298</v>
      </c>
      <c r="F23" s="7" t="s">
        <v>24</v>
      </c>
    </row>
    <row r="25" spans="1:7" ht="21" customHeight="1">
      <c r="A25" s="2" t="s">
        <v>30</v>
      </c>
    </row>
    <row r="26" spans="1:7" ht="21" customHeight="1">
      <c r="A26" s="2" t="s">
        <v>31</v>
      </c>
    </row>
    <row r="27" spans="1:7" ht="21" customHeight="1">
      <c r="A27" s="2" t="s">
        <v>32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Costs</vt:lpstr>
      <vt:lpstr>Costs!Print_Area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cost comparison</dc:title>
  <dc:creator>World Agrees reader resources</dc:creator>
  <dc:description>Fictional Chapter 9 example; Python-computed formula caches.</dc:description>
  <cp:lastModifiedBy>World Agrees reader resources</cp:lastModifiedBy>
  <dcterms:created xsi:type="dcterms:W3CDTF">2026-10-03T00:00:00Z</dcterms:created>
  <dcterms:modified xsi:type="dcterms:W3CDTF">2026-10-03T00:00:00Z</dcterms:modified>
</cp:coreProperties>
</file>